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ound Robin" sheetId="2" state="visible" r:id="rId2"/>
    <sheet xmlns:r="http://schemas.openxmlformats.org/officeDocument/2006/relationships" name="SJF (VM libre primero)" sheetId="3" state="visible" r:id="rId3"/>
    <sheet xmlns:r="http://schemas.openxmlformats.org/officeDocument/2006/relationships" name="Propuesta equilibrada" sheetId="4" state="visible" r:id="rId4"/>
    <sheet xmlns:r="http://schemas.openxmlformats.org/officeDocument/2006/relationships" name="Orden SJ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B50D30"/>
      </patternFill>
    </fill>
    <fill>
      <patternFill patternType="solid">
        <fgColor rgb="00F6E7E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Scheduling en la nube · Thiago Paolo Icochea Rodriguez (U22330428) · Servicios Cloud 45104</t>
        </is>
      </c>
    </row>
    <row r="3">
      <c r="A3" s="2" t="inlineStr">
        <is>
          <t>Trabajo</t>
        </is>
      </c>
      <c r="B3" s="2" t="inlineStr">
        <is>
          <t>Duración (min)</t>
        </is>
      </c>
    </row>
    <row r="4">
      <c r="A4" s="3" t="inlineStr">
        <is>
          <t>J1</t>
        </is>
      </c>
      <c r="B4" s="3" t="n">
        <v>12</v>
      </c>
    </row>
    <row r="5">
      <c r="A5" s="3" t="inlineStr">
        <is>
          <t>J2</t>
        </is>
      </c>
      <c r="B5" s="3" t="n">
        <v>4</v>
      </c>
    </row>
    <row r="6">
      <c r="A6" s="3" t="inlineStr">
        <is>
          <t>J3</t>
        </is>
      </c>
      <c r="B6" s="3" t="n">
        <v>8</v>
      </c>
    </row>
    <row r="7">
      <c r="A7" s="3" t="inlineStr">
        <is>
          <t>J4</t>
        </is>
      </c>
      <c r="B7" s="3" t="n">
        <v>3</v>
      </c>
    </row>
    <row r="8">
      <c r="A8" s="3" t="inlineStr">
        <is>
          <t>J5</t>
        </is>
      </c>
      <c r="B8" s="3" t="n">
        <v>10</v>
      </c>
    </row>
    <row r="9">
      <c r="A9" s="3" t="inlineStr">
        <is>
          <t>J6</t>
        </is>
      </c>
      <c r="B9" s="3" t="n">
        <v>6</v>
      </c>
    </row>
    <row r="10">
      <c r="A10" s="3" t="inlineStr">
        <is>
          <t>J7</t>
        </is>
      </c>
      <c r="B10" s="3" t="n">
        <v>2</v>
      </c>
    </row>
    <row r="11">
      <c r="A11" s="3" t="inlineStr">
        <is>
          <t>J8</t>
        </is>
      </c>
      <c r="B11" s="3" t="n">
        <v>7</v>
      </c>
    </row>
    <row r="12">
      <c r="A12" s="4" t="inlineStr">
        <is>
          <t>Tiempo total</t>
        </is>
      </c>
      <c r="B12" s="5">
        <f>SUM(B4:B11)</f>
        <v/>
      </c>
    </row>
    <row r="13">
      <c r="A13" s="4" t="inlineStr">
        <is>
          <t>N.° de VM</t>
        </is>
      </c>
      <c r="B13" s="5" t="n">
        <v>3</v>
      </c>
    </row>
    <row r="14">
      <c r="A14" s="4" t="inlineStr">
        <is>
          <t>Carga media teórica</t>
        </is>
      </c>
      <c r="B14" s="6">
        <f>B12/B13</f>
        <v/>
      </c>
    </row>
    <row r="15">
      <c r="A15" s="4" t="inlineStr">
        <is>
          <t>Cota inferior entera</t>
        </is>
      </c>
      <c r="B15" s="5">
        <f>ROUNDUP(B14,0)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</cols>
  <sheetData>
    <row r="1">
      <c r="A1" s="1" t="inlineStr">
        <is>
          <t>Round Robin</t>
        </is>
      </c>
    </row>
    <row r="3">
      <c r="A3" s="2" t="inlineStr">
        <is>
          <t>VM</t>
        </is>
      </c>
      <c r="B3" s="2" t="inlineStr">
        <is>
          <t>Trabajos asignados</t>
        </is>
      </c>
      <c r="C3" s="2" t="inlineStr">
        <is>
          <t>Carga total (min)</t>
        </is>
      </c>
    </row>
    <row r="4">
      <c r="A4" s="3" t="inlineStr">
        <is>
          <t>VM1</t>
        </is>
      </c>
      <c r="B4" s="3" t="inlineStr">
        <is>
          <t>J1 + J4 + J7</t>
        </is>
      </c>
      <c r="C4" s="3">
        <f>Datos!B4+Datos!B7+Datos!B10</f>
        <v/>
      </c>
    </row>
    <row r="5">
      <c r="A5" s="3" t="inlineStr">
        <is>
          <t>VM2</t>
        </is>
      </c>
      <c r="B5" s="3" t="inlineStr">
        <is>
          <t>J2 + J5 + J8</t>
        </is>
      </c>
      <c r="C5" s="3">
        <f>Datos!B5+Datos!B8+Datos!B11</f>
        <v/>
      </c>
    </row>
    <row r="6">
      <c r="A6" s="3" t="inlineStr">
        <is>
          <t>VM3</t>
        </is>
      </c>
      <c r="B6" s="3" t="inlineStr">
        <is>
          <t>J3 + J6</t>
        </is>
      </c>
      <c r="C6" s="3">
        <f>Datos!B6+Datos!B9</f>
        <v/>
      </c>
    </row>
    <row r="8">
      <c r="A8" s="4" t="inlineStr">
        <is>
          <t>Makespan Cmax</t>
        </is>
      </c>
      <c r="C8" s="5">
        <f>MAX(C4:C6)</f>
        <v/>
      </c>
    </row>
    <row r="9">
      <c r="A9" s="4" t="inlineStr">
        <is>
          <t>Desbalance (máx − mín)</t>
        </is>
      </c>
      <c r="C9" s="5">
        <f>MAX(C4:C6)-MIN(C4:C6)</f>
        <v/>
      </c>
    </row>
    <row r="10">
      <c r="A10" s="4" t="inlineStr">
        <is>
          <t>Utilización media (%)</t>
        </is>
      </c>
      <c r="C10" s="7">
        <f>SUM(C4:C6)/(3*C8)*100</f>
        <v/>
      </c>
    </row>
    <row r="11">
      <c r="A11" s="4" t="inlineStr">
        <is>
          <t>Diferencia con la cota inferior</t>
        </is>
      </c>
      <c r="C11" s="5">
        <f>C8-Datos!B15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</cols>
  <sheetData>
    <row r="1">
      <c r="A1" s="1" t="inlineStr">
        <is>
          <t>SJF (VM libre primero)</t>
        </is>
      </c>
    </row>
    <row r="3">
      <c r="A3" s="2" t="inlineStr">
        <is>
          <t>VM</t>
        </is>
      </c>
      <c r="B3" s="2" t="inlineStr">
        <is>
          <t>Trabajos asignados</t>
        </is>
      </c>
      <c r="C3" s="2" t="inlineStr">
        <is>
          <t>Carga total (min)</t>
        </is>
      </c>
    </row>
    <row r="4">
      <c r="A4" s="3" t="inlineStr">
        <is>
          <t>VM1</t>
        </is>
      </c>
      <c r="B4" s="3" t="inlineStr">
        <is>
          <t>J7 + J6 + J5</t>
        </is>
      </c>
      <c r="C4" s="3">
        <f>Datos!B10+Datos!B9+Datos!B8</f>
        <v/>
      </c>
    </row>
    <row r="5">
      <c r="A5" s="3" t="inlineStr">
        <is>
          <t>VM2</t>
        </is>
      </c>
      <c r="B5" s="3" t="inlineStr">
        <is>
          <t>J4 + J8 + J1</t>
        </is>
      </c>
      <c r="C5" s="3">
        <f>Datos!B7+Datos!B11+Datos!B4</f>
        <v/>
      </c>
    </row>
    <row r="6">
      <c r="A6" s="3" t="inlineStr">
        <is>
          <t>VM3</t>
        </is>
      </c>
      <c r="B6" s="3" t="inlineStr">
        <is>
          <t>J2 + J3</t>
        </is>
      </c>
      <c r="C6" s="3">
        <f>Datos!B5+Datos!B6</f>
        <v/>
      </c>
    </row>
    <row r="8">
      <c r="A8" s="4" t="inlineStr">
        <is>
          <t>Makespan Cmax</t>
        </is>
      </c>
      <c r="C8" s="5">
        <f>MAX(C4:C6)</f>
        <v/>
      </c>
    </row>
    <row r="9">
      <c r="A9" s="4" t="inlineStr">
        <is>
          <t>Desbalance (máx − mín)</t>
        </is>
      </c>
      <c r="C9" s="5">
        <f>MAX(C4:C6)-MIN(C4:C6)</f>
        <v/>
      </c>
    </row>
    <row r="10">
      <c r="A10" s="4" t="inlineStr">
        <is>
          <t>Utilización media (%)</t>
        </is>
      </c>
      <c r="C10" s="7">
        <f>SUM(C4:C6)/(3*C8)*100</f>
        <v/>
      </c>
    </row>
    <row r="11">
      <c r="A11" s="4" t="inlineStr">
        <is>
          <t>Diferencia con la cota inferior</t>
        </is>
      </c>
      <c r="C11" s="5">
        <f>C8-Datos!B15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</cols>
  <sheetData>
    <row r="1">
      <c r="A1" s="1" t="inlineStr">
        <is>
          <t>Propuesta equilibrada</t>
        </is>
      </c>
    </row>
    <row r="3">
      <c r="A3" s="2" t="inlineStr">
        <is>
          <t>VM</t>
        </is>
      </c>
      <c r="B3" s="2" t="inlineStr">
        <is>
          <t>Trabajos asignados</t>
        </is>
      </c>
      <c r="C3" s="2" t="inlineStr">
        <is>
          <t>Carga total (min)</t>
        </is>
      </c>
    </row>
    <row r="4">
      <c r="A4" s="3" t="inlineStr">
        <is>
          <t>VM1</t>
        </is>
      </c>
      <c r="B4" s="3" t="inlineStr">
        <is>
          <t>J1 + J6</t>
        </is>
      </c>
      <c r="C4" s="3">
        <f>Datos!B4+Datos!B9</f>
        <v/>
      </c>
    </row>
    <row r="5">
      <c r="A5" s="3" t="inlineStr">
        <is>
          <t>VM2</t>
        </is>
      </c>
      <c r="B5" s="3" t="inlineStr">
        <is>
          <t>J5 + J4 + J2</t>
        </is>
      </c>
      <c r="C5" s="3">
        <f>Datos!B8+Datos!B7+Datos!B5</f>
        <v/>
      </c>
    </row>
    <row r="6">
      <c r="A6" s="3" t="inlineStr">
        <is>
          <t>VM3</t>
        </is>
      </c>
      <c r="B6" s="3" t="inlineStr">
        <is>
          <t>J3 + J8 + J7</t>
        </is>
      </c>
      <c r="C6" s="3">
        <f>Datos!B6+Datos!B11+Datos!B10</f>
        <v/>
      </c>
    </row>
    <row r="8">
      <c r="A8" s="4" t="inlineStr">
        <is>
          <t>Makespan Cmax</t>
        </is>
      </c>
      <c r="C8" s="5">
        <f>MAX(C4:C6)</f>
        <v/>
      </c>
    </row>
    <row r="9">
      <c r="A9" s="4" t="inlineStr">
        <is>
          <t>Desbalance (máx − mín)</t>
        </is>
      </c>
      <c r="C9" s="5">
        <f>MAX(C4:C6)-MIN(C4:C6)</f>
        <v/>
      </c>
    </row>
    <row r="10">
      <c r="A10" s="4" t="inlineStr">
        <is>
          <t>Utilización media (%)</t>
        </is>
      </c>
      <c r="C10" s="7">
        <f>SUM(C4:C6)/(3*C8)*100</f>
        <v/>
      </c>
    </row>
    <row r="11">
      <c r="A11" s="4" t="inlineStr">
        <is>
          <t>Diferencia con la cota inferior</t>
        </is>
      </c>
      <c r="C11" s="5">
        <f>C8-Datos!B15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Posición</t>
        </is>
      </c>
      <c r="B1" s="2" t="inlineStr">
        <is>
          <t>Trabajo</t>
        </is>
      </c>
      <c r="C1" s="2" t="inlineStr">
        <is>
          <t>Duración</t>
        </is>
      </c>
    </row>
    <row r="2">
      <c r="A2" t="n">
        <v>1</v>
      </c>
      <c r="B2" t="inlineStr">
        <is>
          <t>J7</t>
        </is>
      </c>
      <c r="C2">
        <f>Datos!B10</f>
        <v/>
      </c>
    </row>
    <row r="3">
      <c r="A3" t="n">
        <v>2</v>
      </c>
      <c r="B3" t="inlineStr">
        <is>
          <t>J4</t>
        </is>
      </c>
      <c r="C3">
        <f>Datos!B7</f>
        <v/>
      </c>
    </row>
    <row r="4">
      <c r="A4" t="n">
        <v>3</v>
      </c>
      <c r="B4" t="inlineStr">
        <is>
          <t>J2</t>
        </is>
      </c>
      <c r="C4">
        <f>Datos!B5</f>
        <v/>
      </c>
    </row>
    <row r="5">
      <c r="A5" t="n">
        <v>4</v>
      </c>
      <c r="B5" t="inlineStr">
        <is>
          <t>J6</t>
        </is>
      </c>
      <c r="C5">
        <f>Datos!B9</f>
        <v/>
      </c>
    </row>
    <row r="6">
      <c r="A6" t="n">
        <v>5</v>
      </c>
      <c r="B6" t="inlineStr">
        <is>
          <t>J8</t>
        </is>
      </c>
      <c r="C6">
        <f>Datos!B11</f>
        <v/>
      </c>
    </row>
    <row r="7">
      <c r="A7" t="n">
        <v>6</v>
      </c>
      <c r="B7" t="inlineStr">
        <is>
          <t>J3</t>
        </is>
      </c>
      <c r="C7">
        <f>Datos!B6</f>
        <v/>
      </c>
    </row>
    <row r="8">
      <c r="A8" t="n">
        <v>7</v>
      </c>
      <c r="B8" t="inlineStr">
        <is>
          <t>J5</t>
        </is>
      </c>
      <c r="C8">
        <f>Datos!B8</f>
        <v/>
      </c>
    </row>
    <row r="9">
      <c r="A9" t="n">
        <v>8</v>
      </c>
      <c r="B9" t="inlineStr">
        <is>
          <t>J1</t>
        </is>
      </c>
      <c r="C9">
        <f>Datos!B4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2026-10-30T11:14:21Z</dcterms:created>
  <dcterms:modified xmlns:dcterms="http://purl.org/dc/terms/" xmlns:xsi="http://www.w3.org/2001/XMLSchema-instance" xsi:type="dcterms:W3CDTF">2026-10-30T11:14:21Z</dcterms:modified>
</cp:coreProperties>
</file>